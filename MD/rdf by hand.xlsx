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iv\Yehonathan TAU\Advenced_PhyChemLab2\MD\"/>
    </mc:Choice>
  </mc:AlternateContent>
  <xr:revisionPtr revIDLastSave="0" documentId="13_ncr:1_{D0CE31E4-A9CC-494A-B5CC-3DBAA8B4046C}" xr6:coauthVersionLast="47" xr6:coauthVersionMax="47" xr10:uidLastSave="{00000000-0000-0000-0000-000000000000}"/>
  <bookViews>
    <workbookView xWindow="-110" yWindow="-110" windowWidth="19420" windowHeight="10300" activeTab="2" xr2:uid="{EA0C04D2-3823-4035-962C-123F04519F1E}"/>
  </bookViews>
  <sheets>
    <sheet name="Sheet1" sheetId="1" r:id="rId1"/>
    <sheet name="Sheet1 (2)" sheetId="3" r:id="rId2"/>
    <sheet name="Sheet1 (3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E2" i="3"/>
  <c r="E6" i="3" s="1"/>
  <c r="C3" i="3"/>
  <c r="C8" i="4"/>
  <c r="D8" i="4" s="1"/>
  <c r="C7" i="4"/>
  <c r="C6" i="4"/>
  <c r="C5" i="4"/>
  <c r="E4" i="4"/>
  <c r="C4" i="4"/>
  <c r="C3" i="4"/>
  <c r="E2" i="4"/>
  <c r="E6" i="4" s="1"/>
  <c r="C2" i="4"/>
  <c r="C8" i="3"/>
  <c r="C7" i="3"/>
  <c r="C6" i="3"/>
  <c r="C5" i="3"/>
  <c r="E4" i="3"/>
  <c r="C4" i="3"/>
  <c r="C2" i="3"/>
  <c r="E4" i="1"/>
  <c r="E2" i="1"/>
  <c r="E6" i="1" s="1"/>
  <c r="C3" i="1"/>
  <c r="C2" i="1"/>
  <c r="C6" i="1"/>
  <c r="C7" i="1"/>
  <c r="C8" i="1"/>
  <c r="C5" i="1"/>
  <c r="C4" i="1"/>
  <c r="D3" i="4" l="1"/>
  <c r="D2" i="4"/>
  <c r="D5" i="4"/>
  <c r="D4" i="4"/>
  <c r="D6" i="4"/>
  <c r="D7" i="4"/>
  <c r="D4" i="3"/>
  <c r="D6" i="3"/>
  <c r="D8" i="3"/>
  <c r="D2" i="3"/>
  <c r="D5" i="3"/>
  <c r="D7" i="3"/>
  <c r="D4" i="1"/>
  <c r="D5" i="1"/>
  <c r="D6" i="1"/>
  <c r="D7" i="1"/>
  <c r="D8" i="1"/>
  <c r="D3" i="1"/>
  <c r="D2" i="1"/>
</calcChain>
</file>

<file path=xl/sharedStrings.xml><?xml version="1.0" encoding="utf-8"?>
<sst xmlns="http://schemas.openxmlformats.org/spreadsheetml/2006/main" count="21" uniqueCount="7">
  <si>
    <t>number of balls</t>
  </si>
  <si>
    <t>area</t>
  </si>
  <si>
    <t>rdf</t>
  </si>
  <si>
    <t>total circels</t>
  </si>
  <si>
    <t>total area</t>
  </si>
  <si>
    <t>total density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</si>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</sst>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1.5824175824175823</c:v>
                </c:pt>
                <c:pt idx="1">
                  <c:v>0.79120879120879117</c:v>
                </c:pt>
                <c:pt idx="2">
                  <c:v>0.98901098901098905</c:v>
                </c:pt>
                <c:pt idx="3">
                  <c:v>1.0681318681318681</c:v>
                </c:pt>
                <c:pt idx="4">
                  <c:v>1.0172684458398744</c:v>
                </c:pt>
                <c:pt idx="5">
                  <c:v>0.96703296703296704</c:v>
                </c:pt>
                <c:pt idx="6">
                  <c:v>0.98901098901098905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BD-4A80-82AC-48152A9FB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609151"/>
        <c:axId val="83130367"/>
      </c:scatterChart>
      <c:valAx>
        <c:axId val="209360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30367"/>
        <c:crosses val="autoZero"/>
        <c:crossBetween val="midCat"/>
      </c:valAx>
      <c:valAx>
        <c:axId val="8313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609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(2)'!$A$3:$A$8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'Sheet1 (2)'!$D$3:$D$8</c:f>
              <c:numCache>
                <c:formatCode>General</c:formatCode>
                <c:ptCount val="6"/>
                <c:pt idx="0">
                  <c:v>0.38297872340425532</c:v>
                </c:pt>
                <c:pt idx="1">
                  <c:v>0.8936170212765957</c:v>
                </c:pt>
                <c:pt idx="2">
                  <c:v>1.1489361702127658</c:v>
                </c:pt>
                <c:pt idx="3">
                  <c:v>1.0395136778115501</c:v>
                </c:pt>
                <c:pt idx="4">
                  <c:v>0.93617021276595747</c:v>
                </c:pt>
                <c:pt idx="5">
                  <c:v>1.0444874274661511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D-4A95-9E29-8E246AE8B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609151"/>
        <c:axId val="83130367"/>
      </c:scatterChart>
      <c:valAx>
        <c:axId val="209360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30367"/>
        <c:crosses val="autoZero"/>
        <c:crossBetween val="midCat"/>
      </c:valAx>
      <c:valAx>
        <c:axId val="8313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609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(3)'!$A$2:$A$8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'Sheet1 (3)'!$D$2:$D$8</c:f>
              <c:numCache>
                <c:formatCode>General</c:formatCode>
                <c:ptCount val="7"/>
                <c:pt idx="0">
                  <c:v>1.5319148936170213</c:v>
                </c:pt>
                <c:pt idx="1">
                  <c:v>0.51063829787234039</c:v>
                </c:pt>
                <c:pt idx="2">
                  <c:v>0.76595744680851063</c:v>
                </c:pt>
                <c:pt idx="3">
                  <c:v>1.1489361702127658</c:v>
                </c:pt>
                <c:pt idx="4">
                  <c:v>1.0395136778115501</c:v>
                </c:pt>
                <c:pt idx="5">
                  <c:v>0.93617021276595747</c:v>
                </c:pt>
                <c:pt idx="6">
                  <c:v>1.0444874274661511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1F-4A82-A72C-1A244506A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609151"/>
        <c:axId val="83130367"/>
      </c:scatterChart>
      <c:valAx>
        <c:axId val="209360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30367"/>
        <c:crosses val="autoZero"/>
        <c:crossBetween val="midCat"/>
      </c:valAx>
      <c:valAx>
        <c:axId val="8313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609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274563</xdr:colOff>
      <xdr:row>0</xdr:row>
      <xdr:rowOff>164699</xdr:rowOff>
    </xdr:from>
    <xdr:to>
      <xdr:col>11</xdr:col>
      <xdr:colOff>252667</xdr:colOff>
      <xdr:row>12</xdr:row>
      <xdr:rowOff>131420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299E9E-E23D-B9EA-74AA-5D43AE977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274563</xdr:colOff>
      <xdr:row>0</xdr:row>
      <xdr:rowOff>164699</xdr:rowOff>
    </xdr:from>
    <xdr:to>
      <xdr:col>11</xdr:col>
      <xdr:colOff>252667</xdr:colOff>
      <xdr:row>12</xdr:row>
      <xdr:rowOff>131420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F064D-0465-4C0D-A5FB-9E1E700BD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274563</xdr:colOff>
      <xdr:row>0</xdr:row>
      <xdr:rowOff>164699</xdr:rowOff>
    </xdr:from>
    <xdr:to>
      <xdr:col>11</xdr:col>
      <xdr:colOff>252667</xdr:colOff>
      <xdr:row>12</xdr:row>
      <xdr:rowOff>131420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7680D-896E-417B-8613-8DEF444A3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B471-D3C7-4CC8-B862-46EF6FC596EC}">
  <dimension ref="A1:E8"/>
  <sheetViews>
    <sheetView zoomScale="115" zoomScaleNormal="115" workbookViewId="0">
      <selection activeCell="B17" sqref="B17"/>
    </sheetView>
  </sheetViews>
  <sheetFormatPr defaultRowHeight="14" x14ac:dyDescent="0.3"/>
  <cols>
    <col min="2" max="2" width="13.25" bestFit="1" customWidth="1"/>
    <col min="5" max="5" width="10.08203125" bestFit="1" customWidth="1"/>
  </cols>
  <sheetData>
    <row r="1" spans="1:5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</v>
      </c>
      <c r="C2">
        <f>PI()*A2^2</f>
        <v>3.1415926535897931</v>
      </c>
      <c r="D2">
        <f>B2/C2 /$E$6</f>
        <v>1.5824175824175823</v>
      </c>
      <c r="E2">
        <f>SUM(B2:B8)</f>
        <v>91</v>
      </c>
    </row>
    <row r="3" spans="1:5" x14ac:dyDescent="0.3">
      <c r="A3">
        <v>2</v>
      </c>
      <c r="B3">
        <v>1.5</v>
      </c>
      <c r="C3">
        <f>PI()*(A3^2-B2^2)</f>
        <v>9.4247779607693793</v>
      </c>
      <c r="D3">
        <f>B3/C3/$E$6</f>
        <v>0.79120879120879117</v>
      </c>
      <c r="E3" t="s">
        <v>4</v>
      </c>
    </row>
    <row r="4" spans="1:5" x14ac:dyDescent="0.3">
      <c r="A4">
        <v>4</v>
      </c>
      <c r="B4">
        <v>7.5</v>
      </c>
      <c r="C4">
        <f>PI()*(A4^2-A3^2)</f>
        <v>37.699111843077517</v>
      </c>
      <c r="D4">
        <f t="shared" ref="D4:D8" si="0">B4/C4/$E$6</f>
        <v>0.98901098901098905</v>
      </c>
      <c r="E4">
        <f>PI()*A8^2</f>
        <v>452.38934211693021</v>
      </c>
    </row>
    <row r="5" spans="1:5" x14ac:dyDescent="0.3">
      <c r="A5">
        <v>6</v>
      </c>
      <c r="B5">
        <v>13.5</v>
      </c>
      <c r="C5">
        <f>PI()*(A5^2-A4^2)</f>
        <v>62.831853071795862</v>
      </c>
      <c r="D5">
        <f t="shared" si="0"/>
        <v>1.0681318681318681</v>
      </c>
      <c r="E5" t="s">
        <v>5</v>
      </c>
    </row>
    <row r="6" spans="1:5" x14ac:dyDescent="0.3">
      <c r="A6">
        <v>8</v>
      </c>
      <c r="B6">
        <v>18</v>
      </c>
      <c r="C6">
        <f t="shared" ref="C6:C8" si="1">PI()*(A6^2-A5^2)</f>
        <v>87.964594300514207</v>
      </c>
      <c r="D6">
        <f t="shared" si="0"/>
        <v>1.0172684458398744</v>
      </c>
      <c r="E6">
        <f>E2/E4</f>
        <v>0.20115416418558996</v>
      </c>
    </row>
    <row r="7" spans="1:5" x14ac:dyDescent="0.3">
      <c r="A7">
        <v>10</v>
      </c>
      <c r="B7">
        <v>22</v>
      </c>
      <c r="C7">
        <f t="shared" si="1"/>
        <v>113.09733552923255</v>
      </c>
      <c r="D7">
        <f t="shared" si="0"/>
        <v>0.96703296703296704</v>
      </c>
    </row>
    <row r="8" spans="1:5" x14ac:dyDescent="0.3">
      <c r="A8">
        <v>12</v>
      </c>
      <c r="B8">
        <v>27.5</v>
      </c>
      <c r="C8">
        <f t="shared" si="1"/>
        <v>138.23007675795088</v>
      </c>
      <c r="D8">
        <f t="shared" si="0"/>
        <v>0.98901098901098905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C282-425C-4B04-B6E8-149FFF6D0FAB}">
  <dimension ref="A1:E8"/>
  <sheetViews>
    <sheetView zoomScale="115" zoomScaleNormal="115" workbookViewId="0">
      <selection activeCell="D3" sqref="D3"/>
    </sheetView>
  </sheetViews>
  <sheetFormatPr defaultRowHeight="14" x14ac:dyDescent="0.3"/>
  <cols>
    <col min="2" max="2" width="13.25" bestFit="1" customWidth="1"/>
    <col min="5" max="5" width="10.08203125" bestFit="1" customWidth="1"/>
  </cols>
  <sheetData>
    <row r="1" spans="1:5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</v>
      </c>
      <c r="C2">
        <f>PI()*A2^2</f>
        <v>3.1415926535897931</v>
      </c>
      <c r="D2">
        <f>B2/C2 /$E$6</f>
        <v>1.5319148936170213</v>
      </c>
      <c r="E2">
        <f>SUM(B3:B8)</f>
        <v>94</v>
      </c>
    </row>
    <row r="3" spans="1:5" x14ac:dyDescent="0.3">
      <c r="A3">
        <v>2</v>
      </c>
      <c r="B3">
        <v>1</v>
      </c>
      <c r="C3">
        <f>PI()*(A3^2)</f>
        <v>12.566370614359172</v>
      </c>
      <c r="D3">
        <f>B3/C3/$E$6</f>
        <v>0.38297872340425532</v>
      </c>
      <c r="E3" t="s">
        <v>4</v>
      </c>
    </row>
    <row r="4" spans="1:5" x14ac:dyDescent="0.3">
      <c r="A4">
        <v>4</v>
      </c>
      <c r="B4">
        <v>7</v>
      </c>
      <c r="C4">
        <f>PI()*(A4^2-A3^2)</f>
        <v>37.699111843077517</v>
      </c>
      <c r="D4">
        <f t="shared" ref="D4:D8" si="0">B4/C4/$E$6</f>
        <v>0.8936170212765957</v>
      </c>
      <c r="E4">
        <f>PI()*A8^2</f>
        <v>452.38934211693021</v>
      </c>
    </row>
    <row r="5" spans="1:5" x14ac:dyDescent="0.3">
      <c r="A5">
        <v>6</v>
      </c>
      <c r="B5">
        <v>15</v>
      </c>
      <c r="C5">
        <f>PI()*(A5^2-A4^2)</f>
        <v>62.831853071795862</v>
      </c>
      <c r="D5">
        <f t="shared" si="0"/>
        <v>1.1489361702127658</v>
      </c>
      <c r="E5" t="s">
        <v>5</v>
      </c>
    </row>
    <row r="6" spans="1:5" x14ac:dyDescent="0.3">
      <c r="A6">
        <v>8</v>
      </c>
      <c r="B6">
        <v>19</v>
      </c>
      <c r="C6">
        <f t="shared" ref="C6:C8" si="1">PI()*(A6^2-A5^2)</f>
        <v>87.964594300514207</v>
      </c>
      <c r="D6">
        <f t="shared" si="0"/>
        <v>1.0395136778115501</v>
      </c>
      <c r="E6">
        <f>E2/E4</f>
        <v>0.20778562014775226</v>
      </c>
    </row>
    <row r="7" spans="1:5" x14ac:dyDescent="0.3">
      <c r="A7">
        <v>10</v>
      </c>
      <c r="B7">
        <v>22</v>
      </c>
      <c r="C7">
        <f t="shared" si="1"/>
        <v>113.09733552923255</v>
      </c>
      <c r="D7">
        <f t="shared" si="0"/>
        <v>0.93617021276595747</v>
      </c>
    </row>
    <row r="8" spans="1:5" x14ac:dyDescent="0.3">
      <c r="A8">
        <v>12</v>
      </c>
      <c r="B8">
        <v>30</v>
      </c>
      <c r="C8">
        <f t="shared" si="1"/>
        <v>138.23007675795088</v>
      </c>
      <c r="D8">
        <f t="shared" si="0"/>
        <v>1.0444874274661511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ABBC-0A7B-4568-A66F-53CEC7B2F73D}">
  <dimension ref="A1:E8"/>
  <sheetViews>
    <sheetView tabSelected="1" zoomScale="115" zoomScaleNormal="115" workbookViewId="0">
      <selection activeCell="B4" sqref="B4"/>
    </sheetView>
  </sheetViews>
  <sheetFormatPr defaultRowHeight="14" x14ac:dyDescent="0.3"/>
  <cols>
    <col min="2" max="2" width="13.25" bestFit="1" customWidth="1"/>
    <col min="5" max="5" width="10.08203125" bestFit="1" customWidth="1"/>
  </cols>
  <sheetData>
    <row r="1" spans="1:5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</v>
      </c>
      <c r="C2">
        <f>PI()*A2^2</f>
        <v>3.1415926535897931</v>
      </c>
      <c r="D2">
        <f>B2/C2 /$E$6</f>
        <v>1.5319148936170213</v>
      </c>
      <c r="E2">
        <f>SUM(B2:B8)</f>
        <v>94</v>
      </c>
    </row>
    <row r="3" spans="1:5" x14ac:dyDescent="0.3">
      <c r="A3">
        <v>2</v>
      </c>
      <c r="B3">
        <v>1</v>
      </c>
      <c r="C3">
        <f>PI()*(A3^2-B2^2)</f>
        <v>9.4247779607693793</v>
      </c>
      <c r="D3">
        <f>B3/C3/$E$6</f>
        <v>0.51063829787234039</v>
      </c>
      <c r="E3" t="s">
        <v>4</v>
      </c>
    </row>
    <row r="4" spans="1:5" x14ac:dyDescent="0.3">
      <c r="A4">
        <v>4</v>
      </c>
      <c r="B4">
        <v>6</v>
      </c>
      <c r="C4">
        <f>PI()*(A4^2-A3^2)</f>
        <v>37.699111843077517</v>
      </c>
      <c r="D4">
        <f t="shared" ref="D4:D8" si="0">B4/C4/$E$6</f>
        <v>0.76595744680851063</v>
      </c>
      <c r="E4">
        <f>PI()*A8^2</f>
        <v>452.38934211693021</v>
      </c>
    </row>
    <row r="5" spans="1:5" x14ac:dyDescent="0.3">
      <c r="A5">
        <v>6</v>
      </c>
      <c r="B5">
        <v>15</v>
      </c>
      <c r="C5">
        <f>PI()*(A5^2-A4^2)</f>
        <v>62.831853071795862</v>
      </c>
      <c r="D5">
        <f t="shared" si="0"/>
        <v>1.1489361702127658</v>
      </c>
      <c r="E5" t="s">
        <v>5</v>
      </c>
    </row>
    <row r="6" spans="1:5" x14ac:dyDescent="0.3">
      <c r="A6">
        <v>8</v>
      </c>
      <c r="B6">
        <v>19</v>
      </c>
      <c r="C6">
        <f t="shared" ref="C6:C8" si="1">PI()*(A6^2-A5^2)</f>
        <v>87.964594300514207</v>
      </c>
      <c r="D6">
        <f t="shared" si="0"/>
        <v>1.0395136778115501</v>
      </c>
      <c r="E6">
        <f>E2/E4</f>
        <v>0.20778562014775226</v>
      </c>
    </row>
    <row r="7" spans="1:5" x14ac:dyDescent="0.3">
      <c r="A7">
        <v>10</v>
      </c>
      <c r="B7">
        <v>22</v>
      </c>
      <c r="C7">
        <f t="shared" si="1"/>
        <v>113.09733552923255</v>
      </c>
      <c r="D7">
        <f t="shared" si="0"/>
        <v>0.93617021276595747</v>
      </c>
    </row>
    <row r="8" spans="1:5" x14ac:dyDescent="0.3">
      <c r="A8">
        <v>12</v>
      </c>
      <c r="B8">
        <v>30</v>
      </c>
      <c r="C8">
        <f t="shared" si="1"/>
        <v>138.23007675795088</v>
      </c>
      <c r="D8">
        <f t="shared" si="0"/>
        <v>1.0444874274661511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Yehonathan Barda</dc:creator>
  <cp:lastModifiedBy>Yehonathan Barda</cp:lastModifiedBy>
  <dcterms:created xsi:type="dcterms:W3CDTF">2025-04-18T13:47:49Z</dcterms:created>
  <dcterms:modified xsi:type="dcterms:W3CDTF">2025-06-01T11:51:31Z</dcterms:modified>
</cp:coreProperties>
</file>